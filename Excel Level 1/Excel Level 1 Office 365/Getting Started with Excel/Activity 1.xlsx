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tutrainingsolutionspt-my.sharepoint.com/personal/tshepo_masangu_ctutraining_co_za/Documents/Desktop/Excel Level 1/Excel Level 1 Office 365/Getting Started with Excel/"/>
    </mc:Choice>
  </mc:AlternateContent>
  <xr:revisionPtr revIDLastSave="367" documentId="13_ncr:1_{7C6DC9D8-D036-4110-B96D-645AD396FDD0}" xr6:coauthVersionLast="47" xr6:coauthVersionMax="47" xr10:uidLastSave="{56EFA7AD-EC4F-4F2D-9F68-FDC6C025B252}"/>
  <bookViews>
    <workbookView xWindow="28665" yWindow="-135" windowWidth="15630" windowHeight="11070" tabRatio="808" firstSheet="4" activeTab="5" xr2:uid="{BDA4A948-540F-4141-95A1-E98575811F66}"/>
  </bookViews>
  <sheets>
    <sheet name="Formula Fundamentals" sheetId="12" r:id="rId1"/>
    <sheet name="Order of Operations" sheetId="4" r:id="rId2"/>
    <sheet name="Basic Functions" sheetId="5" r:id="rId3"/>
    <sheet name="Conditional Functions" sheetId="6" r:id="rId4"/>
    <sheet name="Text Functions" sheetId="7" r:id="rId5"/>
    <sheet name="Logical Functions" sheetId="8" r:id="rId6"/>
    <sheet name="Lookup Functions" sheetId="9" r:id="rId7"/>
    <sheet name="Date &amp; Time" sheetId="10" r:id="rId8"/>
    <sheet name="Bonus" sheetId="11" r:id="rId9"/>
  </sheets>
  <definedNames>
    <definedName name="RATE">#REF!</definedName>
    <definedName name="Ratee">#REF!</definedName>
    <definedName name="Tax_Rate">'Formula Fundamentals'!$G$2</definedName>
    <definedName name="taxrat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8" l="1"/>
  <c r="D11" i="8"/>
  <c r="E10" i="7"/>
  <c r="C6" i="7"/>
  <c r="C3" i="7"/>
  <c r="C4" i="7"/>
  <c r="C2" i="7"/>
  <c r="F3" i="6"/>
  <c r="F2" i="6"/>
  <c r="F10" i="6"/>
  <c r="E12" i="5"/>
  <c r="E11" i="5"/>
  <c r="E10" i="5"/>
  <c r="E7" i="5"/>
  <c r="E6" i="5"/>
  <c r="E5" i="5"/>
  <c r="E4" i="5"/>
  <c r="E3" i="5"/>
  <c r="E2" i="5"/>
  <c r="C5" i="12"/>
  <c r="D5" i="12"/>
  <c r="E5" i="12"/>
  <c r="B5" i="12"/>
  <c r="C4" i="12"/>
  <c r="D4" i="12"/>
  <c r="E4" i="12"/>
  <c r="B4" i="12"/>
  <c r="E3" i="12"/>
  <c r="E2" i="12"/>
  <c r="A1" i="11"/>
  <c r="F4" i="4"/>
  <c r="F4" i="4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<sst xmlns="http://schemas.openxmlformats.org/spreadsheetml/2006/main" count="152" uniqueCount="80">
  <si>
    <t>Chocolate Chip</t>
  </si>
  <si>
    <t>Oatmeal Raisin</t>
  </si>
  <si>
    <t>Sugar Cookie</t>
  </si>
  <si>
    <t>Totals</t>
  </si>
  <si>
    <t>Tax Rate</t>
  </si>
  <si>
    <t>Revenue</t>
  </si>
  <si>
    <t>Cost</t>
  </si>
  <si>
    <t>Profit</t>
  </si>
  <si>
    <t>Tax</t>
  </si>
  <si>
    <t>Profit Split</t>
  </si>
  <si>
    <t>* and / evaluated first</t>
  </si>
  <si>
    <t>+ and - evaluated second</t>
  </si>
  <si>
    <t>Use parentheses to control the order</t>
  </si>
  <si>
    <t>Cookie Name</t>
  </si>
  <si>
    <t>Cookies Sold</t>
  </si>
  <si>
    <t xml:space="preserve">How many cookies sold? </t>
  </si>
  <si>
    <t>Most # of cookies sold</t>
  </si>
  <si>
    <t>Least # of cookies sold</t>
  </si>
  <si>
    <t>Snickerdoodle</t>
  </si>
  <si>
    <t>2nd most sold</t>
  </si>
  <si>
    <t>Birthday Cake</t>
  </si>
  <si>
    <t>2nd least sold</t>
  </si>
  <si>
    <t>Peanut Butter</t>
  </si>
  <si>
    <t># of cookies with sales?</t>
  </si>
  <si>
    <t>Fortune</t>
  </si>
  <si>
    <t>Average sold?</t>
  </si>
  <si>
    <t>What # is in the middle?</t>
  </si>
  <si>
    <t>median</t>
  </si>
  <si>
    <t>What # occurs most frequently?</t>
  </si>
  <si>
    <t>mode</t>
  </si>
  <si>
    <t>Country</t>
  </si>
  <si>
    <t>United States</t>
  </si>
  <si>
    <t>sumifs</t>
  </si>
  <si>
    <t>Averageif</t>
  </si>
  <si>
    <t>Averageifs</t>
  </si>
  <si>
    <t>India</t>
  </si>
  <si>
    <t>Countif</t>
  </si>
  <si>
    <t>Countifs</t>
  </si>
  <si>
    <t>Minifs</t>
  </si>
  <si>
    <t>Maxifs</t>
  </si>
  <si>
    <t>Philippines</t>
  </si>
  <si>
    <t>Proper</t>
  </si>
  <si>
    <t>ctu training solutions.</t>
  </si>
  <si>
    <t>Trim</t>
  </si>
  <si>
    <t>Concat</t>
  </si>
  <si>
    <t>Ctu</t>
  </si>
  <si>
    <t>Training</t>
  </si>
  <si>
    <t>Solutions</t>
  </si>
  <si>
    <t>&amp;</t>
  </si>
  <si>
    <t>Text Join</t>
  </si>
  <si>
    <t>Right, Left, Mid</t>
  </si>
  <si>
    <t>123 Main Street, 05486</t>
  </si>
  <si>
    <t>Len</t>
  </si>
  <si>
    <t>Ctu Training Solutions</t>
  </si>
  <si>
    <t>Find (case-sensitive) and search (not case-sensitive)</t>
  </si>
  <si>
    <t>Use your email</t>
  </si>
  <si>
    <t>Classroom6@gmail.com</t>
  </si>
  <si>
    <t xml:space="preserve"> </t>
  </si>
  <si>
    <t>If</t>
  </si>
  <si>
    <t>Do we sell more chocolate chip or oatmeal raisin?</t>
  </si>
  <si>
    <t>AND</t>
  </si>
  <si>
    <t>Does chocolate chip sell more than all other cookies?</t>
  </si>
  <si>
    <t>OR</t>
  </si>
  <si>
    <t>Does chocolate chip sell more than oatmeal raisin or sugar?</t>
  </si>
  <si>
    <t>Cookie Type</t>
  </si>
  <si>
    <t>Price</t>
  </si>
  <si>
    <t>Nested If / Ifs</t>
  </si>
  <si>
    <t>What is the price of:</t>
  </si>
  <si>
    <t>VLOOKUP</t>
  </si>
  <si>
    <t>XLOOKUP</t>
  </si>
  <si>
    <t>Today</t>
  </si>
  <si>
    <t>Now</t>
  </si>
  <si>
    <t>Zimbabwe</t>
  </si>
  <si>
    <t>Cookie</t>
  </si>
  <si>
    <t xml:space="preserve">        </t>
  </si>
  <si>
    <t>tshepo</t>
  </si>
  <si>
    <t>bruce</t>
  </si>
  <si>
    <t xml:space="preserve">   Ctu Training      Solutions</t>
  </si>
  <si>
    <t>SUM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</si>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</sst>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9" fontId="0" fillId="0" borderId="0" xfId="0" applyNumberFormat="1"/>
    <xf numFmtId="0" fontId="0" fillId="0" borderId="0" xfId="0" applyAlignment="1">
      <alignment vertical="center"/>
    </xf>
    <xf numFmtId="14" fontId="0" fillId="0" borderId="0" xfId="0" applyNumberFormat="1"/>
    <xf numFmtId="22" fontId="0" fillId="0" borderId="0" xfId="0" applyNumberFormat="1"/>
    <xf numFmtId="1" fontId="0" fillId="0" borderId="0" xfId="0" applyNumberFormat="1"/>
    <xf numFmtId="0" fontId="2" fillId="0" borderId="0" xfId="1"/>
    <xf numFmtId="0" fontId="0" fillId="2" borderId="1" xfId="0" applyFill="1" applyBorder="1"/>
    <xf numFmtId="0" fontId="1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Classroom6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1C96-D47E-41A2-BFA9-F360F0CDD5B5}">
  <dimension ref="A1:G16"/>
  <sheetViews>
    <sheetView zoomScale="110" zoomScaleNormal="110" workbookViewId="0">
      <selection activeCell="G3" sqref="G3"/>
    </sheetView>
  </sheetViews>
  <sheetFormatPr defaultRowHeight="14.4" x14ac:dyDescent="0.3"/>
  <cols>
    <col min="1" max="1" width="11.109375" customWidth="1"/>
    <col min="2" max="2" width="17" customWidth="1"/>
    <col min="3" max="3" width="16.88671875" customWidth="1"/>
    <col min="4" max="4" width="12.44140625" bestFit="1" customWidth="1"/>
    <col min="6" max="6" width="2.33203125" customWidth="1"/>
  </cols>
  <sheetData>
    <row r="1" spans="1:7" x14ac:dyDescent="0.3">
      <c r="A1" s="9"/>
      <c r="B1" s="10" t="s">
        <v>0</v>
      </c>
      <c r="C1" s="10" t="s">
        <v>1</v>
      </c>
      <c r="D1" s="10" t="s">
        <v>2</v>
      </c>
      <c r="E1" s="10" t="s">
        <v>3</v>
      </c>
      <c r="F1" s="9"/>
      <c r="G1" s="10" t="s">
        <v>4</v>
      </c>
    </row>
    <row r="2" spans="1:7" x14ac:dyDescent="0.3">
      <c r="A2" s="2" t="s">
        <v>5</v>
      </c>
      <c r="B2">
        <v>15</v>
      </c>
      <c r="C2">
        <v>8</v>
      </c>
      <c r="D2">
        <v>5</v>
      </c>
      <c r="E2">
        <f>SUM(B2:D2)</f>
        <v>28</v>
      </c>
      <c r="G2" s="3">
        <v>0.12</v>
      </c>
    </row>
    <row r="3" spans="1:7" x14ac:dyDescent="0.3">
      <c r="A3" s="2" t="s">
        <v>6</v>
      </c>
      <c r="B3">
        <v>4</v>
      </c>
      <c r="C3">
        <v>3</v>
      </c>
      <c r="D3">
        <v>2</v>
      </c>
      <c r="E3">
        <f>SUM(B3:D3)</f>
        <v>9</v>
      </c>
      <c r="G3" s="3"/>
    </row>
    <row r="4" spans="1:7" x14ac:dyDescent="0.3">
      <c r="A4" s="2" t="s">
        <v>7</v>
      </c>
      <c r="B4">
        <f>B2-B3</f>
        <v>11</v>
      </c>
      <c r="C4">
        <f t="shared" ref="C4:E4" si="0">C2-C3</f>
        <v>5</v>
      </c>
      <c r="D4">
        <f t="shared" si="0"/>
        <v>3</v>
      </c>
      <c r="E4">
        <f t="shared" si="0"/>
        <v>19</v>
      </c>
      <c r="G4" s="3"/>
    </row>
    <row r="5" spans="1:7" x14ac:dyDescent="0.3">
      <c r="A5" s="2" t="s">
        <v>8</v>
      </c>
      <c r="B5">
        <f>B4*Tax_Rate</f>
        <v>1.3199999999999998</v>
      </c>
      <c r="C5">
        <f>C4*Tax_Rate</f>
        <v>0.6</v>
      </c>
      <c r="D5">
        <f>D4*Tax_Rate</f>
        <v>0.36</v>
      </c>
      <c r="E5">
        <f>E4*Tax_Rate</f>
        <v>2.2799999999999998</v>
      </c>
      <c r="G5" s="3"/>
    </row>
    <row r="6" spans="1:7" x14ac:dyDescent="0.3">
      <c r="A6" s="2"/>
      <c r="C6" s="1"/>
    </row>
    <row r="7" spans="1:7" x14ac:dyDescent="0.3">
      <c r="C7" s="1"/>
    </row>
    <row r="8" spans="1:7" x14ac:dyDescent="0.3">
      <c r="C8" s="1"/>
      <c r="E8" t="s">
        <v>74</v>
      </c>
    </row>
    <row r="9" spans="1:7" x14ac:dyDescent="0.3">
      <c r="A9" s="2" t="s">
        <v>9</v>
      </c>
      <c r="B9" s="7"/>
      <c r="C9" s="1"/>
      <c r="D9" s="5"/>
    </row>
    <row r="10" spans="1:7" x14ac:dyDescent="0.3">
      <c r="C10" s="1"/>
      <c r="D10" s="5"/>
    </row>
    <row r="11" spans="1:7" x14ac:dyDescent="0.3">
      <c r="C11" s="1"/>
    </row>
    <row r="12" spans="1:7" x14ac:dyDescent="0.3">
      <c r="B12" s="1"/>
    </row>
    <row r="16" spans="1:7" hidden="1" x14ac:dyDescent="0.3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3D0C-FC6F-41A8-A93C-33504C18B680}">
  <dimension ref="A1:F8"/>
  <sheetViews>
    <sheetView zoomScale="150" zoomScaleNormal="150" workbookViewId="0">
      <selection activeCell="F4" sqref="F4"/>
    </sheetView>
  </sheetViews>
  <sheetFormatPr defaultRowHeight="14.4" x14ac:dyDescent="0.3"/>
  <cols>
    <col min="2" max="2" width="14.44140625" bestFit="1" customWidth="1"/>
    <col min="6" max="6" width="28.5546875" customWidth="1"/>
  </cols>
  <sheetData>
    <row r="1" spans="1:6" x14ac:dyDescent="0.3">
      <c r="B1" s="2" t="s">
        <v>0</v>
      </c>
      <c r="D1" s="2" t="s">
        <v>4</v>
      </c>
    </row>
    <row r="2" spans="1:6" x14ac:dyDescent="0.3">
      <c r="A2" s="2" t="s">
        <v>5</v>
      </c>
      <c r="B2">
        <v>10</v>
      </c>
      <c r="D2" s="3">
        <v>0.1</v>
      </c>
    </row>
    <row r="3" spans="1:6" x14ac:dyDescent="0.3">
      <c r="A3" s="2" t="s">
        <v>6</v>
      </c>
      <c r="B3">
        <v>4</v>
      </c>
    </row>
    <row r="4" spans="1:6" x14ac:dyDescent="0.3">
      <c r="A4" s="2" t="s">
        <v>8</v>
      </c>
      <c r="F4" cm="1">
        <f t="array" aca="1" ref="F4:F5" ca="1">F5:F6*D2</f>
        <v>0</v>
      </c>
    </row>
    <row r="5" spans="1:6" x14ac:dyDescent="0.3">
      <c r="F5">
        <f ca="1"/>
        <v>0</v>
      </c>
    </row>
    <row r="6" spans="1:6" x14ac:dyDescent="0.3">
      <c r="A6" s="4" t="s">
        <v>10</v>
      </c>
    </row>
    <row r="7" spans="1:6" x14ac:dyDescent="0.3">
      <c r="A7" s="4" t="s">
        <v>11</v>
      </c>
    </row>
    <row r="8" spans="1:6" x14ac:dyDescent="0.3">
      <c r="A8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7816-1F13-4EB2-B1BF-D99034D19386}">
  <dimension ref="A1:F12"/>
  <sheetViews>
    <sheetView topLeftCell="A4" zoomScale="150" zoomScaleNormal="150" workbookViewId="0">
      <selection activeCell="E8" sqref="E8"/>
    </sheetView>
  </sheetViews>
  <sheetFormatPr defaultRowHeight="14.4" x14ac:dyDescent="0.3"/>
  <cols>
    <col min="1" max="1" width="13.6640625" customWidth="1"/>
    <col min="2" max="2" width="12.33203125" bestFit="1" customWidth="1"/>
    <col min="3" max="3" width="3.109375" customWidth="1"/>
    <col min="4" max="4" width="28.33203125" bestFit="1" customWidth="1"/>
    <col min="5" max="5" width="12" bestFit="1" customWidth="1"/>
    <col min="7" max="7" width="18.44140625" customWidth="1"/>
  </cols>
  <sheetData>
    <row r="1" spans="1:6" x14ac:dyDescent="0.3">
      <c r="A1" s="2" t="s">
        <v>13</v>
      </c>
      <c r="B1" s="2" t="s">
        <v>14</v>
      </c>
    </row>
    <row r="2" spans="1:6" x14ac:dyDescent="0.3">
      <c r="A2" t="s">
        <v>0</v>
      </c>
      <c r="B2">
        <v>97</v>
      </c>
      <c r="D2" t="s">
        <v>15</v>
      </c>
      <c r="E2">
        <f>SUM(B2:B8)</f>
        <v>381</v>
      </c>
    </row>
    <row r="3" spans="1:6" x14ac:dyDescent="0.3">
      <c r="A3" t="s">
        <v>1</v>
      </c>
      <c r="B3">
        <v>77</v>
      </c>
      <c r="D3" t="s">
        <v>16</v>
      </c>
      <c r="E3">
        <f>LARGE(B2:B8,2)</f>
        <v>77</v>
      </c>
    </row>
    <row r="4" spans="1:6" x14ac:dyDescent="0.3">
      <c r="A4" t="s">
        <v>2</v>
      </c>
      <c r="B4">
        <v>67</v>
      </c>
      <c r="D4" t="s">
        <v>17</v>
      </c>
      <c r="E4">
        <f>MIN(B2:B8)</f>
        <v>36</v>
      </c>
    </row>
    <row r="5" spans="1:6" x14ac:dyDescent="0.3">
      <c r="A5" t="s">
        <v>18</v>
      </c>
      <c r="B5">
        <v>52</v>
      </c>
      <c r="D5" t="s">
        <v>19</v>
      </c>
      <c r="E5">
        <f>LARGE(B2:B8,2)</f>
        <v>77</v>
      </c>
    </row>
    <row r="6" spans="1:6" x14ac:dyDescent="0.3">
      <c r="A6" t="s">
        <v>20</v>
      </c>
      <c r="B6">
        <v>52</v>
      </c>
      <c r="D6" t="s">
        <v>21</v>
      </c>
      <c r="E6">
        <f>SMALL(B2:B8,2)</f>
        <v>52</v>
      </c>
    </row>
    <row r="7" spans="1:6" x14ac:dyDescent="0.3">
      <c r="A7" t="s">
        <v>22</v>
      </c>
      <c r="D7" t="s">
        <v>23</v>
      </c>
      <c r="E7">
        <f>COUNT(B2:B8)</f>
        <v>6</v>
      </c>
    </row>
    <row r="8" spans="1:6" x14ac:dyDescent="0.3">
      <c r="A8" t="s">
        <v>24</v>
      </c>
      <c r="B8">
        <v>36</v>
      </c>
    </row>
    <row r="10" spans="1:6" x14ac:dyDescent="0.3">
      <c r="D10" t="s">
        <v>25</v>
      </c>
      <c r="E10" s="7">
        <f>AVERAGE(B2:B8)</f>
        <v>63.5</v>
      </c>
    </row>
    <row r="11" spans="1:6" x14ac:dyDescent="0.3">
      <c r="D11" t="s">
        <v>26</v>
      </c>
      <c r="E11">
        <f>MEDIAN(B2:B8)</f>
        <v>59.5</v>
      </c>
      <c r="F11" t="s">
        <v>27</v>
      </c>
    </row>
    <row r="12" spans="1:6" x14ac:dyDescent="0.3">
      <c r="D12" t="s">
        <v>28</v>
      </c>
      <c r="E12">
        <f>MODE(B2:B8)</f>
        <v>52</v>
      </c>
      <c r="F12" t="s">
        <v>29</v>
      </c>
    </row>
  </sheetData>
  <sortState xmlns:xlrd2="http://schemas.microsoft.com/office/spreadsheetml/2017/richdata2" ref="A2:B8">
    <sortCondition descending="1" ref="B1:B8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72CB-F967-45A8-83C0-EF5A4DD6E9C5}">
  <dimension ref="A1:F22"/>
  <sheetViews>
    <sheetView zoomScale="130" zoomScaleNormal="130" workbookViewId="0">
      <selection activeCell="F2" sqref="F2"/>
    </sheetView>
  </sheetViews>
  <sheetFormatPr defaultRowHeight="14.4" x14ac:dyDescent="0.3"/>
  <cols>
    <col min="1" max="1" width="15.6640625" bestFit="1" customWidth="1"/>
    <col min="2" max="2" width="15.6640625" customWidth="1"/>
    <col min="3" max="3" width="12.33203125" bestFit="1" customWidth="1"/>
    <col min="5" max="5" width="12.44140625" bestFit="1" customWidth="1"/>
    <col min="8" max="8" width="19.88671875" bestFit="1" customWidth="1"/>
  </cols>
  <sheetData>
    <row r="1" spans="1:6" x14ac:dyDescent="0.3">
      <c r="A1" s="2" t="s">
        <v>13</v>
      </c>
      <c r="B1" s="2" t="s">
        <v>30</v>
      </c>
      <c r="C1" s="2" t="s">
        <v>14</v>
      </c>
    </row>
    <row r="2" spans="1:6" x14ac:dyDescent="0.3">
      <c r="A2" t="s">
        <v>24</v>
      </c>
      <c r="B2" t="s">
        <v>72</v>
      </c>
      <c r="C2">
        <v>100</v>
      </c>
      <c r="E2" t="s">
        <v>78</v>
      </c>
      <c r="F2">
        <f>SUMIF(B2:B22,"Philippines",C2:C22)</f>
        <v>440</v>
      </c>
    </row>
    <row r="3" spans="1:6" x14ac:dyDescent="0.3">
      <c r="A3" t="s">
        <v>0</v>
      </c>
      <c r="B3" t="s">
        <v>72</v>
      </c>
      <c r="C3">
        <v>75</v>
      </c>
      <c r="E3" t="s">
        <v>32</v>
      </c>
      <c r="F3">
        <f>SUMIFS(C2:C22,B2:B22,"Philippines",A2:A22,"Peanut Butter")</f>
        <v>29</v>
      </c>
    </row>
    <row r="4" spans="1:6" x14ac:dyDescent="0.3">
      <c r="A4" t="s">
        <v>0</v>
      </c>
      <c r="B4" t="s">
        <v>31</v>
      </c>
      <c r="C4">
        <v>28</v>
      </c>
    </row>
    <row r="5" spans="1:6" x14ac:dyDescent="0.3">
      <c r="A5" t="s">
        <v>1</v>
      </c>
      <c r="B5" t="s">
        <v>31</v>
      </c>
      <c r="C5">
        <v>32</v>
      </c>
    </row>
    <row r="6" spans="1:6" x14ac:dyDescent="0.3">
      <c r="A6" t="s">
        <v>2</v>
      </c>
      <c r="B6" t="s">
        <v>31</v>
      </c>
      <c r="C6">
        <v>52</v>
      </c>
    </row>
    <row r="7" spans="1:6" x14ac:dyDescent="0.3">
      <c r="A7" t="s">
        <v>18</v>
      </c>
      <c r="B7" t="s">
        <v>31</v>
      </c>
      <c r="C7">
        <v>50</v>
      </c>
      <c r="E7" t="s">
        <v>34</v>
      </c>
    </row>
    <row r="8" spans="1:6" x14ac:dyDescent="0.3">
      <c r="A8" t="s">
        <v>20</v>
      </c>
      <c r="B8" t="s">
        <v>31</v>
      </c>
      <c r="C8">
        <v>44</v>
      </c>
      <c r="E8" t="s">
        <v>36</v>
      </c>
    </row>
    <row r="9" spans="1:6" x14ac:dyDescent="0.3">
      <c r="A9" t="s">
        <v>22</v>
      </c>
      <c r="B9" t="s">
        <v>31</v>
      </c>
      <c r="C9">
        <v>100</v>
      </c>
      <c r="E9" t="s">
        <v>37</v>
      </c>
    </row>
    <row r="10" spans="1:6" x14ac:dyDescent="0.3">
      <c r="A10" t="s">
        <v>0</v>
      </c>
      <c r="B10" t="s">
        <v>40</v>
      </c>
      <c r="C10">
        <v>55</v>
      </c>
      <c r="E10" t="s">
        <v>38</v>
      </c>
      <c r="F10">
        <f>_xlfn.MAXIFS(C2:C22,B2:B22,B5,B2:B22,B5)</f>
        <v>100</v>
      </c>
    </row>
    <row r="11" spans="1:6" x14ac:dyDescent="0.3">
      <c r="A11" t="s">
        <v>1</v>
      </c>
      <c r="B11" t="s">
        <v>40</v>
      </c>
      <c r="C11">
        <v>41</v>
      </c>
      <c r="E11" t="s">
        <v>39</v>
      </c>
    </row>
    <row r="12" spans="1:6" x14ac:dyDescent="0.3">
      <c r="A12" t="s">
        <v>2</v>
      </c>
      <c r="B12" t="s">
        <v>40</v>
      </c>
      <c r="C12">
        <v>92</v>
      </c>
    </row>
    <row r="13" spans="1:6" x14ac:dyDescent="0.3">
      <c r="A13" t="s">
        <v>18</v>
      </c>
      <c r="B13" t="s">
        <v>40</v>
      </c>
      <c r="C13">
        <v>89</v>
      </c>
    </row>
    <row r="14" spans="1:6" x14ac:dyDescent="0.3">
      <c r="A14" t="s">
        <v>20</v>
      </c>
      <c r="B14" t="s">
        <v>40</v>
      </c>
      <c r="C14">
        <v>34</v>
      </c>
    </row>
    <row r="15" spans="1:6" x14ac:dyDescent="0.3">
      <c r="A15" t="s">
        <v>22</v>
      </c>
      <c r="B15" t="s">
        <v>40</v>
      </c>
      <c r="C15">
        <v>29</v>
      </c>
    </row>
    <row r="16" spans="1:6" x14ac:dyDescent="0.3">
      <c r="A16" t="s">
        <v>24</v>
      </c>
      <c r="B16" t="s">
        <v>40</v>
      </c>
      <c r="C16">
        <v>100</v>
      </c>
    </row>
    <row r="17" spans="1:5" x14ac:dyDescent="0.3">
      <c r="A17" t="s">
        <v>1</v>
      </c>
      <c r="B17" t="s">
        <v>35</v>
      </c>
      <c r="C17">
        <v>32</v>
      </c>
    </row>
    <row r="18" spans="1:5" x14ac:dyDescent="0.3">
      <c r="A18" t="s">
        <v>2</v>
      </c>
      <c r="B18" t="s">
        <v>35</v>
      </c>
      <c r="C18">
        <v>40</v>
      </c>
    </row>
    <row r="19" spans="1:5" x14ac:dyDescent="0.3">
      <c r="A19" t="s">
        <v>18</v>
      </c>
      <c r="B19" t="s">
        <v>35</v>
      </c>
      <c r="C19">
        <v>21</v>
      </c>
    </row>
    <row r="20" spans="1:5" x14ac:dyDescent="0.3">
      <c r="A20" t="s">
        <v>20</v>
      </c>
      <c r="B20" t="s">
        <v>35</v>
      </c>
      <c r="C20">
        <v>58</v>
      </c>
    </row>
    <row r="21" spans="1:5" x14ac:dyDescent="0.3">
      <c r="A21" t="s">
        <v>22</v>
      </c>
      <c r="B21" t="s">
        <v>35</v>
      </c>
      <c r="C21">
        <v>21</v>
      </c>
    </row>
    <row r="22" spans="1:5" x14ac:dyDescent="0.3">
      <c r="A22" t="s">
        <v>24</v>
      </c>
      <c r="B22" t="s">
        <v>35</v>
      </c>
      <c r="C22">
        <v>54</v>
      </c>
      <c r="E22" t="s">
        <v>33</v>
      </c>
    </row>
  </sheetData>
  <sortState xmlns:xlrd2="http://schemas.microsoft.com/office/spreadsheetml/2017/richdata2" ref="A2:C22">
    <sortCondition descending="1" ref="B7:B22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5B6F-098D-457F-B597-6B7560CF92C9}">
  <dimension ref="A1:E42"/>
  <sheetViews>
    <sheetView zoomScale="120" zoomScaleNormal="120" workbookViewId="0">
      <selection activeCell="E7" sqref="E7"/>
    </sheetView>
  </sheetViews>
  <sheetFormatPr defaultRowHeight="14.4" x14ac:dyDescent="0.3"/>
  <cols>
    <col min="1" max="1" width="23.109375" customWidth="1"/>
    <col min="5" max="5" width="33" bestFit="1" customWidth="1"/>
    <col min="6" max="6" width="21.88671875" bestFit="1" customWidth="1"/>
    <col min="7" max="7" width="22.33203125" bestFit="1" customWidth="1"/>
    <col min="8" max="8" width="14.88671875" bestFit="1" customWidth="1"/>
  </cols>
  <sheetData>
    <row r="1" spans="1:5" x14ac:dyDescent="0.3">
      <c r="A1" s="2" t="s">
        <v>41</v>
      </c>
    </row>
    <row r="2" spans="1:5" x14ac:dyDescent="0.3">
      <c r="A2" t="s">
        <v>42</v>
      </c>
      <c r="C2" t="str">
        <f>PROPER(A2)</f>
        <v>Ctu Training Solutions.</v>
      </c>
    </row>
    <row r="3" spans="1:5" x14ac:dyDescent="0.3">
      <c r="A3" t="s">
        <v>75</v>
      </c>
      <c r="C3" t="str">
        <f t="shared" ref="C3:C4" si="0">PROPER(A3)</f>
        <v>Tshepo</v>
      </c>
    </row>
    <row r="4" spans="1:5" x14ac:dyDescent="0.3">
      <c r="A4" t="s">
        <v>76</v>
      </c>
      <c r="C4" t="str">
        <f t="shared" si="0"/>
        <v>Bruce</v>
      </c>
    </row>
    <row r="5" spans="1:5" x14ac:dyDescent="0.3">
      <c r="A5" s="2" t="s">
        <v>43</v>
      </c>
    </row>
    <row r="6" spans="1:5" x14ac:dyDescent="0.3">
      <c r="A6" t="s">
        <v>77</v>
      </c>
      <c r="C6" t="str">
        <f>TRIM(A6)</f>
        <v>Ctu Training Solutions</v>
      </c>
    </row>
    <row r="9" spans="1:5" x14ac:dyDescent="0.3">
      <c r="A9" s="2" t="s">
        <v>44</v>
      </c>
    </row>
    <row r="10" spans="1:5" x14ac:dyDescent="0.3">
      <c r="A10" t="s">
        <v>45</v>
      </c>
      <c r="B10" t="s">
        <v>46</v>
      </c>
      <c r="C10" t="s">
        <v>47</v>
      </c>
      <c r="E10" t="str">
        <f>_xlfn.CONCAT(A10:C10)</f>
        <v>CtuTrainingSolutions</v>
      </c>
    </row>
    <row r="13" spans="1:5" x14ac:dyDescent="0.3">
      <c r="A13" s="2" t="s">
        <v>48</v>
      </c>
    </row>
    <row r="14" spans="1:5" x14ac:dyDescent="0.3">
      <c r="A14" t="s">
        <v>45</v>
      </c>
      <c r="B14" t="s">
        <v>46</v>
      </c>
      <c r="C14" t="s">
        <v>47</v>
      </c>
    </row>
    <row r="17" spans="1:3" x14ac:dyDescent="0.3">
      <c r="A17" s="2" t="s">
        <v>49</v>
      </c>
    </row>
    <row r="18" spans="1:3" x14ac:dyDescent="0.3">
      <c r="A18" t="s">
        <v>45</v>
      </c>
      <c r="B18" t="s">
        <v>46</v>
      </c>
      <c r="C18" t="s">
        <v>47</v>
      </c>
    </row>
    <row r="21" spans="1:3" x14ac:dyDescent="0.3">
      <c r="A21" s="2" t="s">
        <v>50</v>
      </c>
    </row>
    <row r="22" spans="1:3" x14ac:dyDescent="0.3">
      <c r="A22" t="s">
        <v>51</v>
      </c>
    </row>
    <row r="24" spans="1:3" x14ac:dyDescent="0.3">
      <c r="A24" s="2" t="s">
        <v>52</v>
      </c>
    </row>
    <row r="25" spans="1:3" x14ac:dyDescent="0.3">
      <c r="A25" t="s">
        <v>53</v>
      </c>
    </row>
    <row r="27" spans="1:3" x14ac:dyDescent="0.3">
      <c r="A27" s="2" t="s">
        <v>54</v>
      </c>
    </row>
    <row r="28" spans="1:3" x14ac:dyDescent="0.3">
      <c r="A28" t="s">
        <v>55</v>
      </c>
    </row>
    <row r="29" spans="1:3" x14ac:dyDescent="0.3">
      <c r="A29" s="8" t="s">
        <v>56</v>
      </c>
    </row>
    <row r="30" spans="1:3" x14ac:dyDescent="0.3">
      <c r="A30" s="2" t="s">
        <v>57</v>
      </c>
    </row>
    <row r="37" spans="2:3" x14ac:dyDescent="0.3">
      <c r="C37" s="8"/>
    </row>
    <row r="42" spans="2:3" x14ac:dyDescent="0.3">
      <c r="B42" s="8"/>
    </row>
  </sheetData>
  <hyperlinks>
    <hyperlink ref="A29" r:id="rId1" xr:uid="{10B17398-E3FE-4D7D-BF49-96D62C2D29BB}"/>
  </hyperlink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B459-13D2-4887-A11B-8FCEAEA649E8}">
  <dimension ref="A1:E34"/>
  <sheetViews>
    <sheetView tabSelected="1" topLeftCell="A7" zoomScale="145" zoomScaleNormal="145" workbookViewId="0">
      <selection activeCell="H14" sqref="H14"/>
    </sheetView>
  </sheetViews>
  <sheetFormatPr defaultRowHeight="14.4" x14ac:dyDescent="0.3"/>
  <cols>
    <col min="1" max="1" width="21.6640625" bestFit="1" customWidth="1"/>
    <col min="2" max="2" width="16.44140625" customWidth="1"/>
    <col min="4" max="4" width="14" bestFit="1" customWidth="1"/>
  </cols>
  <sheetData>
    <row r="1" spans="1:4" x14ac:dyDescent="0.3">
      <c r="A1" s="2"/>
    </row>
    <row r="8" spans="1:4" x14ac:dyDescent="0.3">
      <c r="A8" s="2"/>
    </row>
    <row r="9" spans="1:4" x14ac:dyDescent="0.3">
      <c r="A9" s="2" t="s">
        <v>13</v>
      </c>
      <c r="B9" s="2" t="s">
        <v>14</v>
      </c>
      <c r="C9" s="2" t="s">
        <v>58</v>
      </c>
    </row>
    <row r="10" spans="1:4" x14ac:dyDescent="0.3">
      <c r="A10" t="s">
        <v>0</v>
      </c>
      <c r="B10">
        <v>200</v>
      </c>
      <c r="C10" t="s">
        <v>59</v>
      </c>
    </row>
    <row r="11" spans="1:4" x14ac:dyDescent="0.3">
      <c r="A11" t="s">
        <v>1</v>
      </c>
      <c r="B11">
        <v>300</v>
      </c>
      <c r="D11" t="str">
        <f>IF(B10 &gt;B11,A10,A11)</f>
        <v>Oatmeal Raisin</v>
      </c>
    </row>
    <row r="12" spans="1:4" x14ac:dyDescent="0.3">
      <c r="A12" t="s">
        <v>2</v>
      </c>
      <c r="B12">
        <v>150</v>
      </c>
    </row>
    <row r="13" spans="1:4" x14ac:dyDescent="0.3">
      <c r="C13" s="2" t="s">
        <v>60</v>
      </c>
    </row>
    <row r="14" spans="1:4" x14ac:dyDescent="0.3">
      <c r="C14" t="s">
        <v>61</v>
      </c>
    </row>
    <row r="17" spans="1:5" x14ac:dyDescent="0.3">
      <c r="C17" s="2" t="s">
        <v>62</v>
      </c>
    </row>
    <row r="18" spans="1:5" x14ac:dyDescent="0.3">
      <c r="C18" t="s">
        <v>63</v>
      </c>
    </row>
    <row r="21" spans="1:5" x14ac:dyDescent="0.3">
      <c r="A21" s="2" t="s">
        <v>64</v>
      </c>
      <c r="B21" s="2" t="s">
        <v>65</v>
      </c>
      <c r="C21" s="2" t="s">
        <v>66</v>
      </c>
    </row>
    <row r="22" spans="1:5" x14ac:dyDescent="0.3">
      <c r="A22" t="s">
        <v>0</v>
      </c>
      <c r="B22">
        <v>10</v>
      </c>
      <c r="C22" t="s">
        <v>67</v>
      </c>
      <c r="E22" s="2" t="s">
        <v>2</v>
      </c>
    </row>
    <row r="23" spans="1:5" x14ac:dyDescent="0.3">
      <c r="A23" t="s">
        <v>1</v>
      </c>
      <c r="B23">
        <v>8</v>
      </c>
    </row>
    <row r="24" spans="1:5" x14ac:dyDescent="0.3">
      <c r="A24" t="s">
        <v>2</v>
      </c>
      <c r="B24">
        <v>5</v>
      </c>
    </row>
    <row r="31" spans="1:5" x14ac:dyDescent="0.3">
      <c r="A31" t="s">
        <v>79</v>
      </c>
    </row>
    <row r="32" spans="1:5" x14ac:dyDescent="0.3">
      <c r="A32">
        <v>7</v>
      </c>
    </row>
    <row r="34" spans="2:2" x14ac:dyDescent="0.3">
      <c r="B34" t="str">
        <f>IF(A32  &gt; 4, "Male", "Female")</f>
        <v>Male</v>
      </c>
    </row>
  </sheetData>
  <protectedRanges>
    <protectedRange sqref="C11:F12" name="Range1"/>
  </protectedRange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037D-F900-45F8-A4CC-790EE9DB30C3}">
  <dimension ref="A1:F6"/>
  <sheetViews>
    <sheetView zoomScale="145" zoomScaleNormal="145" workbookViewId="0">
      <selection activeCell="F7" sqref="F7"/>
    </sheetView>
  </sheetViews>
  <sheetFormatPr defaultRowHeight="14.4" x14ac:dyDescent="0.3"/>
  <cols>
    <col min="1" max="1" width="14.44140625" bestFit="1" customWidth="1"/>
    <col min="3" max="3" width="11.5546875" customWidth="1"/>
    <col min="4" max="4" width="3.5546875" customWidth="1"/>
    <col min="5" max="5" width="19" bestFit="1" customWidth="1"/>
    <col min="6" max="6" width="15.77734375" customWidth="1"/>
  </cols>
  <sheetData>
    <row r="1" spans="1:6" x14ac:dyDescent="0.3">
      <c r="A1" s="2" t="s">
        <v>64</v>
      </c>
      <c r="B1" s="2" t="s">
        <v>65</v>
      </c>
      <c r="C1" s="2" t="s">
        <v>6</v>
      </c>
      <c r="D1" s="2"/>
      <c r="E1" s="2" t="s">
        <v>68</v>
      </c>
    </row>
    <row r="2" spans="1:6" x14ac:dyDescent="0.3">
      <c r="A2" t="s">
        <v>0</v>
      </c>
      <c r="B2">
        <v>10</v>
      </c>
      <c r="C2">
        <v>4</v>
      </c>
      <c r="E2" t="s">
        <v>67</v>
      </c>
      <c r="F2" t="s">
        <v>2</v>
      </c>
    </row>
    <row r="3" spans="1:6" x14ac:dyDescent="0.3">
      <c r="A3" t="s">
        <v>73</v>
      </c>
      <c r="B3">
        <v>8</v>
      </c>
      <c r="C3">
        <v>3</v>
      </c>
    </row>
    <row r="4" spans="1:6" x14ac:dyDescent="0.3">
      <c r="A4" t="s">
        <v>2</v>
      </c>
      <c r="B4">
        <v>5</v>
      </c>
      <c r="C4">
        <v>2</v>
      </c>
    </row>
    <row r="5" spans="1:6" x14ac:dyDescent="0.3">
      <c r="E5" s="2" t="s">
        <v>69</v>
      </c>
    </row>
    <row r="6" spans="1:6" x14ac:dyDescent="0.3">
      <c r="E6" t="s">
        <v>67</v>
      </c>
      <c r="F6" t="s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0745-0719-4EE6-B49F-FDC6A9926567}">
  <dimension ref="A1:A5"/>
  <sheetViews>
    <sheetView zoomScaleNormal="100" workbookViewId="0">
      <selection activeCell="A2" sqref="A2"/>
    </sheetView>
  </sheetViews>
  <sheetFormatPr defaultRowHeight="14.4" x14ac:dyDescent="0.3"/>
  <cols>
    <col min="1" max="1" width="15.77734375" bestFit="1" customWidth="1"/>
  </cols>
  <sheetData>
    <row r="1" spans="1:1" x14ac:dyDescent="0.3">
      <c r="A1" s="2" t="s">
        <v>70</v>
      </c>
    </row>
    <row r="2" spans="1:1" x14ac:dyDescent="0.3">
      <c r="A2" s="5"/>
    </row>
    <row r="4" spans="1:1" x14ac:dyDescent="0.3">
      <c r="A4" s="2" t="s">
        <v>71</v>
      </c>
    </row>
    <row r="5" spans="1:1" x14ac:dyDescent="0.3">
      <c r="A5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2244-2217-4A67-90AC-AD0F61C3E987}">
  <dimension ref="A1:B1"/>
  <sheetViews>
    <sheetView zoomScale="145" zoomScaleNormal="145" workbookViewId="0">
      <selection activeCell="E13" sqref="E13"/>
    </sheetView>
  </sheetViews>
  <sheetFormatPr defaultRowHeight="14.4" x14ac:dyDescent="0.3"/>
  <sheetData>
    <row r="1" spans="1:2" x14ac:dyDescent="0.3">
      <c r="A1">
        <f>5+4</f>
        <v>9</v>
      </c>
      <c r="B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1f5bb1-3207-4dd7-bafd-0abef5c6659e" xsi:nil="true"/>
    <lcf76f155ced4ddcb4097134ff3c332f xmlns="5861143e-e426-488d-8e01-2d400a182a9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8BE28E9C9A634CBDCA7C35E34FD14B" ma:contentTypeVersion="12" ma:contentTypeDescription="Create a new document." ma:contentTypeScope="" ma:versionID="e131515eb5fbaaa62a267dc5e1b83bea">
  <xsd:schema xmlns:xsd="http://www.w3.org/2001/XMLSchema" xmlns:xs="http://www.w3.org/2001/XMLSchema" xmlns:p="http://schemas.microsoft.com/office/2006/metadata/properties" xmlns:ns2="5861143e-e426-488d-8e01-2d400a182a95" xmlns:ns3="291f5bb1-3207-4dd7-bafd-0abef5c6659e" targetNamespace="http://schemas.microsoft.com/office/2006/metadata/properties" ma:root="true" ma:fieldsID="129b408b640e1b75b16804336d9a3b16" ns2:_="" ns3:_="">
    <xsd:import namespace="5861143e-e426-488d-8e01-2d400a182a95"/>
    <xsd:import namespace="291f5bb1-3207-4dd7-bafd-0abef5c665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61143e-e426-488d-8e01-2d400a182a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659fb2-b048-4a03-9597-72c8c0ef97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1f5bb1-3207-4dd7-bafd-0abef5c6659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35b1c2c-5ec7-42af-bfa4-d1c11534a052}" ma:internalName="TaxCatchAll" ma:showField="CatchAllData" ma:web="291f5bb1-3207-4dd7-bafd-0abef5c665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A3BE1A-9838-4BD4-9AFC-3B07D029F8BB}">
  <ds:schemaRefs>
    <ds:schemaRef ds:uri="http://schemas.microsoft.com/office/2006/metadata/properties"/>
    <ds:schemaRef ds:uri="http://schemas.microsoft.com/office/infopath/2007/PartnerControls"/>
    <ds:schemaRef ds:uri="291f5bb1-3207-4dd7-bafd-0abef5c6659e"/>
    <ds:schemaRef ds:uri="5861143e-e426-488d-8e01-2d400a182a95"/>
  </ds:schemaRefs>
</ds:datastoreItem>
</file>

<file path=customXml/itemProps2.xml><?xml version="1.0" encoding="utf-8"?>
<ds:datastoreItem xmlns:ds="http://schemas.openxmlformats.org/officeDocument/2006/customXml" ds:itemID="{79918A8E-68D8-4227-8F02-42BDDEBA2A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889BC2-30F1-449B-A8BF-2B476DA56D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61143e-e426-488d-8e01-2d400a182a95"/>
    <ds:schemaRef ds:uri="291f5bb1-3207-4dd7-bafd-0abef5c665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Formula Fundamentals</vt:lpstr>
      <vt:lpstr>Order of Operations</vt:lpstr>
      <vt:lpstr>Basic Functions</vt:lpstr>
      <vt:lpstr>Conditional Functions</vt:lpstr>
      <vt:lpstr>Text Functions</vt:lpstr>
      <vt:lpstr>Logical Functions</vt:lpstr>
      <vt:lpstr>Lookup Functions</vt:lpstr>
      <vt:lpstr>Date &amp; Time</vt:lpstr>
      <vt:lpstr>Bonus</vt:lpstr>
      <vt:lpstr>Tax_Rate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Tshepo Masangu</cp:lastModifiedBy>
  <cp:revision/>
  <dcterms:created xsi:type="dcterms:W3CDTF">2022-05-10T22:30:35Z</dcterms:created>
  <dcterms:modified xsi:type="dcterms:W3CDTF">2026-06-03T11:38:30Z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0x010100438BE28E9C9A634CBDCA7C35E34FD14B</vt:lpwstr>
  </property>
  <property fmtid="{D5CDD505-2E9C-101B-9397-08002B2CF9AE}" pid="3" name="MediaServiceImageTags">
    <vt:lpwstr/>
  </property>
</Properties>
</file>